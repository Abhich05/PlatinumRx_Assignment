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PlatinumRx\"/>
    </mc:Choice>
  </mc:AlternateContent>
  <xr:revisionPtr revIDLastSave="0" documentId="13_ncr:1_{B5E849C0-646A-4ACF-B3BE-D95D8E4D85F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icket" sheetId="1" r:id="rId1"/>
    <sheet name="feedbacks" sheetId="2" r:id="rId2"/>
    <sheet name="Analysis" sheetId="3" r:id="rId3"/>
    <sheet name="Not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3" l="1"/>
  <c r="D11" i="3"/>
  <c r="C11" i="3"/>
  <c r="F11" i="3" s="1"/>
  <c r="H11" i="3" s="1"/>
  <c r="B11" i="3"/>
  <c r="A11" i="3"/>
  <c r="D10" i="3"/>
  <c r="C10" i="3"/>
  <c r="F10" i="3" s="1"/>
  <c r="H10" i="3" s="1"/>
  <c r="B10" i="3"/>
  <c r="B18" i="3" s="1"/>
  <c r="A10" i="3"/>
  <c r="D9" i="3"/>
  <c r="C9" i="3"/>
  <c r="F9" i="3" s="1"/>
  <c r="H9" i="3" s="1"/>
  <c r="B9" i="3"/>
  <c r="A9" i="3"/>
  <c r="D8" i="3"/>
  <c r="C8" i="3"/>
  <c r="B8" i="3"/>
  <c r="A8" i="3"/>
  <c r="D7" i="3"/>
  <c r="C7" i="3"/>
  <c r="F7" i="3" s="1"/>
  <c r="H7" i="3" s="1"/>
  <c r="B7" i="3"/>
  <c r="A7" i="3"/>
  <c r="D6" i="3"/>
  <c r="C6" i="3"/>
  <c r="F6" i="3" s="1"/>
  <c r="H6" i="3" s="1"/>
  <c r="B6" i="3"/>
  <c r="A6" i="3"/>
  <c r="D5" i="3"/>
  <c r="C5" i="3"/>
  <c r="B5" i="3"/>
  <c r="A5" i="3"/>
  <c r="D4" i="3"/>
  <c r="C4" i="3"/>
  <c r="B4" i="3"/>
  <c r="B16" i="3" s="1"/>
  <c r="A4" i="3"/>
  <c r="E11" i="2"/>
  <c r="E10" i="2"/>
  <c r="E9" i="2"/>
  <c r="E8" i="2"/>
  <c r="E7" i="2"/>
  <c r="E6" i="2"/>
  <c r="E5" i="2"/>
  <c r="E4" i="2"/>
  <c r="E4" i="3" l="1"/>
  <c r="G4" i="3" s="1"/>
  <c r="B19" i="3"/>
  <c r="F4" i="3"/>
  <c r="H4" i="3" s="1"/>
  <c r="D16" i="3" s="1"/>
  <c r="E7" i="3"/>
  <c r="G7" i="3" s="1"/>
  <c r="E10" i="3"/>
  <c r="G10" i="3" s="1"/>
  <c r="F5" i="3"/>
  <c r="H5" i="3" s="1"/>
  <c r="F8" i="3"/>
  <c r="H8" i="3" s="1"/>
  <c r="E6" i="3"/>
  <c r="G6" i="3" s="1"/>
  <c r="E9" i="3"/>
  <c r="G9" i="3" s="1"/>
  <c r="E11" i="3"/>
  <c r="G11" i="3" s="1"/>
  <c r="E5" i="3"/>
  <c r="G5" i="3" s="1"/>
  <c r="E8" i="3"/>
  <c r="G8" i="3" s="1"/>
  <c r="D17" i="3" l="1"/>
  <c r="D18" i="3"/>
  <c r="C16" i="3"/>
  <c r="C18" i="3"/>
  <c r="C17" i="3"/>
  <c r="C19" i="3" s="1"/>
  <c r="D19" i="3" l="1"/>
</calcChain>
</file>

<file path=xl/sharedStrings.xml><?xml version="1.0" encoding="utf-8"?>
<sst xmlns="http://schemas.openxmlformats.org/spreadsheetml/2006/main" count="95" uniqueCount="72">
  <si>
    <t>ticket_id</t>
  </si>
  <si>
    <t>created_at</t>
  </si>
  <si>
    <t>closed_at</t>
  </si>
  <si>
    <t>outlet_id</t>
  </si>
  <si>
    <t>cms_id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</si>
  <si>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</si>
  <si>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</si>
  <si>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</si>
  <si>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</si>
  <si>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</si>
  <si>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</si>
  <si>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</si>
  <si>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</si>
  <si>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</si>
  <si>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cms-hfy-28</t>
  </si>
  <si>
    <t>plm-qaz-110</t>
  </si>
  <si>
    <t>2021-08-22 09:00:00</t>
  </si>
  <si>
    <t>2021-08-22 09:45:00</t>
  </si>
  <si>
    <t>cms-opl-45</t>
  </si>
  <si>
    <t>abc-xyz-321</t>
  </si>
  <si>
    <t>2021-08-23 14:30:00</t>
  </si>
  <si>
    <t>2021-08-24 10:00:00</t>
  </si>
  <si>
    <t>7tyu-lkj-99x</t>
  </si>
  <si>
    <t>cms-abc-67</t>
  </si>
  <si>
    <t>zzz-aaa-001</t>
  </si>
  <si>
    <t>2021-09-01 08:00:00</t>
  </si>
  <si>
    <t>2021-09-01 08:55:00</t>
  </si>
  <si>
    <t>cms-zzz-89</t>
  </si>
  <si>
    <t>tkt-bcd-777</t>
  </si>
  <si>
    <t>2021-09-02 13:00:00</t>
  </si>
  <si>
    <t>2021-09-03 16:00:00</t>
  </si>
  <si>
    <t>cms-bcd-99</t>
  </si>
  <si>
    <t>tkt-efg-888</t>
  </si>
  <si>
    <t>2021-09-10 10:00:00</t>
  </si>
  <si>
    <t>2021-09-10 10:50:00</t>
  </si>
  <si>
    <t>cms-efg-11</t>
  </si>
  <si>
    <t>tkt-hij-999</t>
  </si>
  <si>
    <t>2021-09-15 09:30:00</t>
  </si>
  <si>
    <t>2021-09-16 11:00:00</t>
  </si>
  <si>
    <t>cms-hij-22</t>
  </si>
  <si>
    <t>feedback_at</t>
  </si>
  <si>
    <t>feedback_rating</t>
  </si>
  <si>
    <t>ticket_created_at</t>
  </si>
  <si>
    <t>2021-08-21 13:26:48</t>
  </si>
  <si>
    <t>2021-08-23 10:00:00</t>
  </si>
  <si>
    <t>2021-08-25 11:00:00</t>
  </si>
  <si>
    <t>2021-09-02 09:00:00</t>
  </si>
  <si>
    <t>2021-09-04 08:30:00</t>
  </si>
  <si>
    <t>2021-09-11 12:00:00</t>
  </si>
  <si>
    <t>2021-09-17 14:00:00</t>
  </si>
  <si>
    <t>Ticket Analysis — Same Day &amp; Same Hour Closure</t>
  </si>
  <si>
    <t>Same Day?</t>
  </si>
  <si>
    <t>Same Hour?</t>
  </si>
  <si>
    <t>Date Match</t>
  </si>
  <si>
    <t>Hour Match</t>
  </si>
  <si>
    <t>Outlet-wise Summary</t>
  </si>
  <si>
    <t>Total Tickets</t>
  </si>
  <si>
    <t>Closed Same Day</t>
  </si>
  <si>
    <t>Closed Same Hour</t>
  </si>
  <si>
    <t>TOTAL</t>
  </si>
  <si>
    <t>Topic</t>
  </si>
  <si>
    <t>Explanation</t>
  </si>
  <si>
    <t>Q1 Formula Used</t>
  </si>
  <si>
    <t>'=IFERROR(INDEX(ticket!$B:$B, MATCH(A2, ticket!$E:$E, 0)), "Not Found")
  • Looks up cms_id (col A in feedbacks) inside ticket!$E:$E (cms_id column)
  • Returns the matching created_at from ticket!$B:$B
  • IFERROR handles cms_ids that don't exist in the ticket sheet</t>
  </si>
  <si>
    <t>Why INDEX/MATCH over VLOOKUP</t>
  </si>
  <si>
    <t>VLOOKUP requires the lookup column to be the leftmost column of the range.
Since cms_id is the 5th column in the ticket sheet (not the 1st), INDEX/MATCH is the correct approach — it can look up and return any column regardless of position.</t>
  </si>
  <si>
    <t>Same Day Logic</t>
  </si>
  <si>
    <t>INT(created_at) strips the time portion, leaving only the date serial number.
  =IF(INT(created_at) = INT(closed_at), "Yes", "No")
  True only when both timestamps fall on the exact same calendar date.</t>
  </si>
  <si>
    <t>Same Hour Logic</t>
  </si>
  <si>
    <t>We check Same Day AND that HOUR(created_at) = HOUR(closed_at).
  =IF(AND(INT(created_at)=INT(closed_at), HOUR(created_at)=HOUR(closed_at)), "Yes", "No")
  This guarantees we don't match '09:xx on Day 1' with '09:xx on Day 2'.</t>
  </si>
  <si>
    <t>Outlet Summary Formula</t>
  </si>
  <si>
    <t>SUMPRODUCT is used instead of COUNTIFS to count outlet + flag matches:
  =SUMPRODUCT(($B$4:$B$11=A14) * ($G$4:$G$11))
  G column holds 1 (same day) or 0. Multiplying by outlet match gives a clean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</si>
</sst>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2F5496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CE6F1"/>
        <bgColor rgb="FFD9E1F2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DCE6F1"/>
      </patternFill>
    </fill>
    <fill>
      <patternFill patternType="solid">
        <fgColor rgb="FFD9E1F2"/>
        <bgColor rgb="FFDCE6F1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6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1"/>
  <sheetViews>
    <sheetView tabSelected="1" zoomScaleNormal="100" workbookViewId="0">
      <pane ySplit="1" topLeftCell="A2" activePane="bottomLeft" state="frozen"/>
      <selection pane="bottomLeft" activeCell="F15" sqref="F15"/>
    </sheetView>
  </sheetViews>
  <sheetFormatPr defaultColWidth="8.6640625" defaultRowHeight="14.4" x14ac:dyDescent="0.3"/>
  <cols>
    <col min="1" max="1" width="18" customWidth="1"/>
    <col min="2" max="3" width="22" customWidth="1"/>
    <col min="4" max="4" width="18" customWidth="1"/>
    <col min="5" max="5" width="12.77734375" customWidth="1"/>
    <col min="6" max="6" width="21.88671875" customWidth="1"/>
  </cols>
  <sheetData>
    <row r="1" spans="2:6" ht="30" customHeight="1" x14ac:dyDescent="0.3"/>
    <row r="3" spans="2:6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2:6" ht="26.4" x14ac:dyDescent="0.3"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</row>
    <row r="5" spans="2:6" ht="26.4" x14ac:dyDescent="0.3"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</row>
    <row r="6" spans="2:6" ht="26.4" x14ac:dyDescent="0.3">
      <c r="B6" s="3" t="s">
        <v>15</v>
      </c>
      <c r="C6" s="3" t="s">
        <v>16</v>
      </c>
      <c r="D6" s="3" t="s">
        <v>17</v>
      </c>
      <c r="E6" s="3" t="s">
        <v>8</v>
      </c>
      <c r="F6" s="3" t="s">
        <v>18</v>
      </c>
    </row>
    <row r="7" spans="2:6" ht="26.4" x14ac:dyDescent="0.3"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</row>
    <row r="8" spans="2:6" ht="26.4" x14ac:dyDescent="0.3">
      <c r="B8" s="3" t="s">
        <v>24</v>
      </c>
      <c r="C8" s="3" t="s">
        <v>25</v>
      </c>
      <c r="D8" s="3" t="s">
        <v>26</v>
      </c>
      <c r="E8" s="3" t="s">
        <v>13</v>
      </c>
      <c r="F8" s="3" t="s">
        <v>27</v>
      </c>
    </row>
    <row r="9" spans="2:6" ht="26.4" x14ac:dyDescent="0.3">
      <c r="B9" s="4" t="s">
        <v>28</v>
      </c>
      <c r="C9" s="4" t="s">
        <v>29</v>
      </c>
      <c r="D9" s="4" t="s">
        <v>30</v>
      </c>
      <c r="E9" s="4" t="s">
        <v>8</v>
      </c>
      <c r="F9" s="4" t="s">
        <v>31</v>
      </c>
    </row>
    <row r="10" spans="2:6" ht="26.4" x14ac:dyDescent="0.3">
      <c r="B10" s="3" t="s">
        <v>32</v>
      </c>
      <c r="C10" s="3" t="s">
        <v>33</v>
      </c>
      <c r="D10" s="3" t="s">
        <v>34</v>
      </c>
      <c r="E10" s="3" t="s">
        <v>22</v>
      </c>
      <c r="F10" s="3" t="s">
        <v>35</v>
      </c>
    </row>
    <row r="11" spans="2:6" ht="26.4" x14ac:dyDescent="0.3">
      <c r="B11" s="4" t="s">
        <v>36</v>
      </c>
      <c r="C11" s="4" t="s">
        <v>37</v>
      </c>
      <c r="D11" s="4" t="s">
        <v>38</v>
      </c>
      <c r="E11" s="4" t="s">
        <v>13</v>
      </c>
      <c r="F11" s="4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1"/>
  <sheetViews>
    <sheetView zoomScaleNormal="100" workbookViewId="0">
      <pane ySplit="1" topLeftCell="A2" activePane="bottomLeft" state="frozen"/>
      <selection pane="bottomLeft" activeCell="D18" sqref="D18"/>
    </sheetView>
  </sheetViews>
  <sheetFormatPr defaultColWidth="8.6640625" defaultRowHeight="14.4" x14ac:dyDescent="0.3"/>
  <cols>
    <col min="1" max="1" width="16" customWidth="1"/>
    <col min="2" max="2" width="22" customWidth="1"/>
    <col min="3" max="3" width="24.44140625" customWidth="1"/>
    <col min="4" max="4" width="22" customWidth="1"/>
    <col min="5" max="5" width="22.6640625" customWidth="1"/>
  </cols>
  <sheetData>
    <row r="1" spans="2:5" ht="30" customHeight="1" x14ac:dyDescent="0.3"/>
    <row r="3" spans="2:5" ht="26.4" x14ac:dyDescent="0.3">
      <c r="B3" s="2" t="s">
        <v>4</v>
      </c>
      <c r="C3" s="2" t="s">
        <v>40</v>
      </c>
      <c r="D3" s="2" t="s">
        <v>41</v>
      </c>
      <c r="E3" s="2" t="s">
        <v>42</v>
      </c>
    </row>
    <row r="4" spans="2:5" ht="26.4" x14ac:dyDescent="0.3">
      <c r="B4" s="3" t="s">
        <v>9</v>
      </c>
      <c r="C4" s="3" t="s">
        <v>43</v>
      </c>
      <c r="D4" s="3">
        <v>3</v>
      </c>
      <c r="E4" s="5" t="str">
        <f>IFERROR(INDEX(ticket!$B:$B,MATCH(B4,ticket!$E:$E,0)),"Not Found")</f>
        <v>Not Found</v>
      </c>
    </row>
    <row r="5" spans="2:5" ht="26.4" x14ac:dyDescent="0.3">
      <c r="B5" s="4" t="s">
        <v>14</v>
      </c>
      <c r="C5" s="4" t="s">
        <v>16</v>
      </c>
      <c r="D5" s="4">
        <v>4</v>
      </c>
      <c r="E5" s="5" t="str">
        <f>IFERROR(INDEX(ticket!$B:$B,MATCH(B5,ticket!$E:$E,0)),"Not Found")</f>
        <v>Not Found</v>
      </c>
    </row>
    <row r="6" spans="2:5" ht="26.4" x14ac:dyDescent="0.3">
      <c r="B6" s="3" t="s">
        <v>18</v>
      </c>
      <c r="C6" s="3" t="s">
        <v>44</v>
      </c>
      <c r="D6" s="3">
        <v>5</v>
      </c>
      <c r="E6" s="5" t="str">
        <f>IFERROR(INDEX(ticket!$B:$B,MATCH(B6,ticket!$E:$E,0)),"Not Found")</f>
        <v>Not Found</v>
      </c>
    </row>
    <row r="7" spans="2:5" ht="26.4" x14ac:dyDescent="0.3">
      <c r="B7" s="4" t="s">
        <v>23</v>
      </c>
      <c r="C7" s="4" t="s">
        <v>45</v>
      </c>
      <c r="D7" s="4">
        <v>2</v>
      </c>
      <c r="E7" s="5" t="str">
        <f>IFERROR(INDEX(ticket!$B:$B,MATCH(B7,ticket!$E:$E,0)),"Not Found")</f>
        <v>Not Found</v>
      </c>
    </row>
    <row r="8" spans="2:5" ht="26.4" x14ac:dyDescent="0.3">
      <c r="B8" s="3" t="s">
        <v>27</v>
      </c>
      <c r="C8" s="3" t="s">
        <v>46</v>
      </c>
      <c r="D8" s="3">
        <v>4</v>
      </c>
      <c r="E8" s="5" t="str">
        <f>IFERROR(INDEX(ticket!$B:$B,MATCH(B8,ticket!$E:$E,0)),"Not Found")</f>
        <v>Not Found</v>
      </c>
    </row>
    <row r="9" spans="2:5" ht="26.4" x14ac:dyDescent="0.3">
      <c r="B9" s="4" t="s">
        <v>31</v>
      </c>
      <c r="C9" s="4" t="s">
        <v>47</v>
      </c>
      <c r="D9" s="4">
        <v>3</v>
      </c>
      <c r="E9" s="5" t="str">
        <f>IFERROR(INDEX(ticket!$B:$B,MATCH(B9,ticket!$E:$E,0)),"Not Found")</f>
        <v>Not Found</v>
      </c>
    </row>
    <row r="10" spans="2:5" ht="26.4" x14ac:dyDescent="0.3">
      <c r="B10" s="3" t="s">
        <v>35</v>
      </c>
      <c r="C10" s="3" t="s">
        <v>48</v>
      </c>
      <c r="D10" s="3">
        <v>5</v>
      </c>
      <c r="E10" s="5" t="str">
        <f>IFERROR(INDEX(ticket!$B:$B,MATCH(B10,ticket!$E:$E,0)),"Not Found")</f>
        <v>Not Found</v>
      </c>
    </row>
    <row r="11" spans="2:5" ht="26.4" x14ac:dyDescent="0.3">
      <c r="B11" s="4" t="s">
        <v>39</v>
      </c>
      <c r="C11" s="4" t="s">
        <v>49</v>
      </c>
      <c r="D11" s="4">
        <v>4</v>
      </c>
      <c r="E11" s="5" t="str">
        <f>IFERROR(INDEX(ticket!$B:$B,MATCH(B11,ticket!$E:$E,0)),"Not Found")</f>
        <v>Not Found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zoomScaleNormal="100" workbookViewId="0">
      <selection activeCell="F17" sqref="F17"/>
    </sheetView>
  </sheetViews>
  <sheetFormatPr defaultColWidth="8.6640625" defaultRowHeight="14.4" x14ac:dyDescent="0.3"/>
  <cols>
    <col min="1" max="2" width="18" customWidth="1"/>
    <col min="3" max="4" width="22" customWidth="1"/>
    <col min="5" max="8" width="13" customWidth="1"/>
  </cols>
  <sheetData>
    <row r="1" spans="1:9" ht="39.75" customHeight="1" x14ac:dyDescent="0.3">
      <c r="A1" s="1" t="s">
        <v>50</v>
      </c>
      <c r="B1" s="1"/>
      <c r="C1" s="1"/>
      <c r="D1" s="1"/>
      <c r="E1" s="1"/>
      <c r="F1" s="1"/>
      <c r="G1" s="1"/>
      <c r="H1" s="1"/>
      <c r="I1" s="1"/>
    </row>
    <row r="3" spans="1:9" ht="24.75" customHeight="1" x14ac:dyDescent="0.3">
      <c r="A3" s="2" t="s">
        <v>0</v>
      </c>
      <c r="B3" s="2" t="s">
        <v>3</v>
      </c>
      <c r="C3" s="2" t="s">
        <v>1</v>
      </c>
      <c r="D3" s="2" t="s">
        <v>2</v>
      </c>
      <c r="E3" s="2" t="s">
        <v>51</v>
      </c>
      <c r="F3" s="2" t="s">
        <v>52</v>
      </c>
      <c r="G3" s="2" t="s">
        <v>53</v>
      </c>
      <c r="H3" s="2" t="s">
        <v>54</v>
      </c>
    </row>
    <row r="4" spans="1:9" x14ac:dyDescent="0.3">
      <c r="A4" s="3" t="str">
        <f>ticket!B4</f>
        <v>isu-sjd-457</v>
      </c>
      <c r="B4" s="3" t="str">
        <f>ticket!E4</f>
        <v>wrqy-juv-978</v>
      </c>
      <c r="C4" s="3" t="str">
        <f>ticket!C4</f>
        <v>2021-08-19 16:45:43</v>
      </c>
      <c r="D4" s="3" t="str">
        <f>ticket!D4</f>
        <v>2021-08-22 12:33:32</v>
      </c>
      <c r="E4" s="5" t="str">
        <f t="shared" ref="E4:E11" si="0">IF(INT(C4)=INT(D4),"Yes","No")</f>
        <v>No</v>
      </c>
      <c r="F4" s="5" t="str">
        <f t="shared" ref="F4:F11" si="1">IF(AND(INT(C4)=INT(D4),HOUR(C4)=HOUR(D4)),"Yes","No")</f>
        <v>No</v>
      </c>
      <c r="G4" s="5">
        <f t="shared" ref="G4:H11" si="2">IF(E4="Yes",1,0)</f>
        <v>0</v>
      </c>
      <c r="H4" s="5">
        <f t="shared" si="2"/>
        <v>0</v>
      </c>
    </row>
    <row r="5" spans="1:9" x14ac:dyDescent="0.3">
      <c r="A5" s="4" t="str">
        <f>ticket!B5</f>
        <v>qer-fal-092</v>
      </c>
      <c r="B5" s="4" t="str">
        <f>ticket!E5</f>
        <v>8woh-k3u-23b</v>
      </c>
      <c r="C5" s="4" t="str">
        <f>ticket!C5</f>
        <v>2021-08-21 11:09:22</v>
      </c>
      <c r="D5" s="4" t="str">
        <f>ticket!D5</f>
        <v>2021-08-21 17:13:45</v>
      </c>
      <c r="E5" s="5" t="str">
        <f t="shared" si="0"/>
        <v>Yes</v>
      </c>
      <c r="F5" s="5" t="str">
        <f t="shared" si="1"/>
        <v>No</v>
      </c>
      <c r="G5" s="5">
        <f t="shared" si="2"/>
        <v>1</v>
      </c>
      <c r="H5" s="5">
        <f t="shared" si="2"/>
        <v>0</v>
      </c>
    </row>
    <row r="6" spans="1:9" x14ac:dyDescent="0.3">
      <c r="A6" s="3" t="str">
        <f>ticket!B6</f>
        <v>plm-qaz-110</v>
      </c>
      <c r="B6" s="3" t="str">
        <f>ticket!E6</f>
        <v>wrqy-juv-978</v>
      </c>
      <c r="C6" s="3" t="str">
        <f>ticket!C6</f>
        <v>2021-08-22 09:00:00</v>
      </c>
      <c r="D6" s="3" t="str">
        <f>ticket!D6</f>
        <v>2021-08-22 09:45:00</v>
      </c>
      <c r="E6" s="5" t="str">
        <f t="shared" si="0"/>
        <v>Yes</v>
      </c>
      <c r="F6" s="5" t="str">
        <f t="shared" si="1"/>
        <v>Yes</v>
      </c>
      <c r="G6" s="5">
        <f t="shared" si="2"/>
        <v>1</v>
      </c>
      <c r="H6" s="5">
        <f t="shared" si="2"/>
        <v>1</v>
      </c>
    </row>
    <row r="7" spans="1:9" x14ac:dyDescent="0.3">
      <c r="A7" s="4" t="str">
        <f>ticket!B7</f>
        <v>abc-xyz-321</v>
      </c>
      <c r="B7" s="4" t="str">
        <f>ticket!E7</f>
        <v>7tyu-lkj-99x</v>
      </c>
      <c r="C7" s="4" t="str">
        <f>ticket!C7</f>
        <v>2021-08-23 14:30:00</v>
      </c>
      <c r="D7" s="4" t="str">
        <f>ticket!D7</f>
        <v>2021-08-24 10:00:00</v>
      </c>
      <c r="E7" s="5" t="str">
        <f t="shared" si="0"/>
        <v>No</v>
      </c>
      <c r="F7" s="5" t="str">
        <f t="shared" si="1"/>
        <v>No</v>
      </c>
      <c r="G7" s="5">
        <f t="shared" si="2"/>
        <v>0</v>
      </c>
      <c r="H7" s="5">
        <f t="shared" si="2"/>
        <v>0</v>
      </c>
    </row>
    <row r="8" spans="1:9" x14ac:dyDescent="0.3">
      <c r="A8" s="3" t="str">
        <f>ticket!B8</f>
        <v>zzz-aaa-001</v>
      </c>
      <c r="B8" s="3" t="str">
        <f>ticket!E8</f>
        <v>8woh-k3u-23b</v>
      </c>
      <c r="C8" s="3" t="str">
        <f>ticket!C8</f>
        <v>2021-09-01 08:00:00</v>
      </c>
      <c r="D8" s="3" t="str">
        <f>ticket!D8</f>
        <v>2021-09-01 08:55:00</v>
      </c>
      <c r="E8" s="5" t="str">
        <f t="shared" si="0"/>
        <v>Yes</v>
      </c>
      <c r="F8" s="5" t="str">
        <f t="shared" si="1"/>
        <v>Yes</v>
      </c>
      <c r="G8" s="5">
        <f t="shared" si="2"/>
        <v>1</v>
      </c>
      <c r="H8" s="5">
        <f t="shared" si="2"/>
        <v>1</v>
      </c>
    </row>
    <row r="9" spans="1:9" x14ac:dyDescent="0.3">
      <c r="A9" s="4" t="str">
        <f>ticket!B9</f>
        <v>tkt-bcd-777</v>
      </c>
      <c r="B9" s="4" t="str">
        <f>ticket!E9</f>
        <v>wrqy-juv-978</v>
      </c>
      <c r="C9" s="4" t="str">
        <f>ticket!C9</f>
        <v>2021-09-02 13:00:00</v>
      </c>
      <c r="D9" s="4" t="str">
        <f>ticket!D9</f>
        <v>2021-09-03 16:00:00</v>
      </c>
      <c r="E9" s="5" t="str">
        <f t="shared" si="0"/>
        <v>No</v>
      </c>
      <c r="F9" s="5" t="str">
        <f t="shared" si="1"/>
        <v>No</v>
      </c>
      <c r="G9" s="5">
        <f t="shared" si="2"/>
        <v>0</v>
      </c>
      <c r="H9" s="5">
        <f t="shared" si="2"/>
        <v>0</v>
      </c>
    </row>
    <row r="10" spans="1:9" x14ac:dyDescent="0.3">
      <c r="A10" s="3" t="str">
        <f>ticket!B10</f>
        <v>tkt-efg-888</v>
      </c>
      <c r="B10" s="3" t="str">
        <f>ticket!E10</f>
        <v>7tyu-lkj-99x</v>
      </c>
      <c r="C10" s="3" t="str">
        <f>ticket!C10</f>
        <v>2021-09-10 10:00:00</v>
      </c>
      <c r="D10" s="3" t="str">
        <f>ticket!D10</f>
        <v>2021-09-10 10:50:00</v>
      </c>
      <c r="E10" s="5" t="str">
        <f t="shared" si="0"/>
        <v>Yes</v>
      </c>
      <c r="F10" s="5" t="str">
        <f t="shared" si="1"/>
        <v>Yes</v>
      </c>
      <c r="G10" s="5">
        <f t="shared" si="2"/>
        <v>1</v>
      </c>
      <c r="H10" s="5">
        <f t="shared" si="2"/>
        <v>1</v>
      </c>
    </row>
    <row r="11" spans="1:9" x14ac:dyDescent="0.3">
      <c r="A11" s="4" t="str">
        <f>ticket!B11</f>
        <v>tkt-hij-999</v>
      </c>
      <c r="B11" s="4" t="str">
        <f>ticket!E11</f>
        <v>8woh-k3u-23b</v>
      </c>
      <c r="C11" s="4" t="str">
        <f>ticket!C11</f>
        <v>2021-09-15 09:30:00</v>
      </c>
      <c r="D11" s="4" t="str">
        <f>ticket!D11</f>
        <v>2021-09-16 11:00:00</v>
      </c>
      <c r="E11" s="5" t="str">
        <f t="shared" si="0"/>
        <v>No</v>
      </c>
      <c r="F11" s="5" t="str">
        <f t="shared" si="1"/>
        <v>No</v>
      </c>
      <c r="G11" s="5">
        <f t="shared" si="2"/>
        <v>0</v>
      </c>
      <c r="H11" s="5">
        <f t="shared" si="2"/>
        <v>0</v>
      </c>
    </row>
    <row r="14" spans="1:9" ht="16.2" customHeight="1" x14ac:dyDescent="0.3">
      <c r="A14" s="1" t="s">
        <v>55</v>
      </c>
      <c r="B14" s="1"/>
      <c r="C14" s="1"/>
      <c r="D14" s="1"/>
    </row>
    <row r="15" spans="1:9" x14ac:dyDescent="0.3">
      <c r="A15" s="2" t="s">
        <v>3</v>
      </c>
      <c r="B15" s="2" t="s">
        <v>56</v>
      </c>
      <c r="C15" s="2" t="s">
        <v>57</v>
      </c>
      <c r="D15" s="2" t="s">
        <v>58</v>
      </c>
    </row>
    <row r="16" spans="1:9" x14ac:dyDescent="0.3">
      <c r="A16" s="3" t="s">
        <v>8</v>
      </c>
      <c r="B16" s="6">
        <f>COUNTIF($B$4:$B$11,A16)</f>
        <v>3</v>
      </c>
      <c r="C16" s="6">
        <f>SUMPRODUCT(($B$4:$B$11=A16)*($G$4:$G$11))</f>
        <v>1</v>
      </c>
      <c r="D16" s="6">
        <f>SUMPRODUCT(($B$4:$B$11=A16)*($H$4:$H$11))</f>
        <v>1</v>
      </c>
    </row>
    <row r="17" spans="1:4" x14ac:dyDescent="0.3">
      <c r="A17" s="4" t="s">
        <v>13</v>
      </c>
      <c r="B17" s="6">
        <f>COUNTIF($B$4:$B$11,A17)</f>
        <v>3</v>
      </c>
      <c r="C17" s="6">
        <f>SUMPRODUCT(($B$4:$B$11=A17)*($G$4:$G$11))</f>
        <v>2</v>
      </c>
      <c r="D17" s="6">
        <f>SUMPRODUCT(($B$4:$B$11=A17)*($H$4:$H$11))</f>
        <v>1</v>
      </c>
    </row>
    <row r="18" spans="1:4" x14ac:dyDescent="0.3">
      <c r="A18" s="3" t="s">
        <v>22</v>
      </c>
      <c r="B18" s="6">
        <f>COUNTIF($B$4:$B$11,A18)</f>
        <v>2</v>
      </c>
      <c r="C18" s="6">
        <f>SUMPRODUCT(($B$4:$B$11=A18)*($G$4:$G$11))</f>
        <v>1</v>
      </c>
      <c r="D18" s="6">
        <f>SUMPRODUCT(($B$4:$B$11=A18)*($H$4:$H$11))</f>
        <v>1</v>
      </c>
    </row>
    <row r="19" spans="1:4" x14ac:dyDescent="0.3">
      <c r="A19" s="7" t="s">
        <v>59</v>
      </c>
      <c r="B19" s="2">
        <f>SUM(B16:B18)</f>
        <v>8</v>
      </c>
      <c r="C19" s="2">
        <f>SUM(C16:C18)</f>
        <v>4</v>
      </c>
      <c r="D19" s="2">
        <f>SUM(D16:D18)</f>
        <v>3</v>
      </c>
    </row>
  </sheetData>
  <mergeCells count="2">
    <mergeCell ref="A1:I1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80" customWidth="1"/>
  </cols>
  <sheetData>
    <row r="1" spans="1:2" ht="21.75" customHeight="1" x14ac:dyDescent="0.3">
      <c r="A1" s="8" t="s">
        <v>60</v>
      </c>
      <c r="B1" s="8" t="s">
        <v>61</v>
      </c>
    </row>
    <row r="2" spans="1:2" ht="69.75" customHeight="1" x14ac:dyDescent="0.3">
      <c r="A2" s="9" t="s">
        <v>62</v>
      </c>
      <c r="B2" s="10" t="s">
        <v>63</v>
      </c>
    </row>
    <row r="3" spans="1:2" ht="69.75" customHeight="1" x14ac:dyDescent="0.3">
      <c r="A3" s="9" t="s">
        <v>64</v>
      </c>
      <c r="B3" s="10" t="s">
        <v>65</v>
      </c>
    </row>
    <row r="4" spans="1:2" ht="69.75" customHeight="1" x14ac:dyDescent="0.3">
      <c r="A4" s="9" t="s">
        <v>66</v>
      </c>
      <c r="B4" s="10" t="s">
        <v>67</v>
      </c>
    </row>
    <row r="5" spans="1:2" ht="69.75" customHeight="1" x14ac:dyDescent="0.3">
      <c r="A5" s="9" t="s">
        <v>68</v>
      </c>
      <c r="B5" s="10" t="s">
        <v>69</v>
      </c>
    </row>
    <row r="6" spans="1:2" ht="69.75" customHeight="1" x14ac:dyDescent="0.3">
      <c r="A6" s="9" t="s">
        <v>70</v>
      </c>
      <c r="B6" s="10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ticket</vt:lpstr>
      <vt:lpstr>feedbacks</vt:lpstr>
      <vt:lpstr>Analysis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C H</cp:lastModifiedBy>
  <cp:revision>0</cp:revision>
  <dcterms:created xsi:type="dcterms:W3CDTF">2026-04-08T10:44:40Z</dcterms:created>
  <dcterms:modified xsi:type="dcterms:W3CDTF">2026-04-08T14:08:08Z</dcterms:modified>
  <dc:language>en-US</dc:language>
</cp:coreProperties>
</file>